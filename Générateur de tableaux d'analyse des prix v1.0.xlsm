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lim\Desktop\Générateur\"/>
    </mc:Choice>
  </mc:AlternateContent>
  <xr:revisionPtr revIDLastSave="0" documentId="13_ncr:1_{6A515852-BE3F-4109-9427-B1DEC2B9BF1A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Note prix" sheetId="1" r:id="rId1"/>
    <sheet name="Feuil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1" l="1"/>
  <c r="J7" i="1" l="1"/>
  <c r="I7" i="1"/>
  <c r="F7" i="1" l="1"/>
  <c r="D7" i="1"/>
</calcChain>
</file>

<file path=xl/sharedStrings.xml><?xml version="1.0" encoding="utf-8"?>
<sst xmlns="http://schemas.openxmlformats.org/spreadsheetml/2006/main" count="18" uniqueCount="16">
  <si>
    <t>Entreprise A</t>
  </si>
  <si>
    <t>Prix HT</t>
  </si>
  <si>
    <t>Note</t>
  </si>
  <si>
    <t>Prix A</t>
  </si>
  <si>
    <t>Pondération</t>
  </si>
  <si>
    <t>Prestations</t>
  </si>
  <si>
    <t>Prix B</t>
  </si>
  <si>
    <t>Prix min</t>
  </si>
  <si>
    <t>Formule utilisée : Offre la moins chère / Offre analysée x Pondération (GRAMP)</t>
  </si>
  <si>
    <t>Prix max</t>
  </si>
  <si>
    <t>Moyenne Prix</t>
  </si>
  <si>
    <t>Prestation XXX</t>
  </si>
  <si>
    <t>Insérez l'intitulé et la référence de votre consultation dans cette partie</t>
  </si>
  <si>
    <t>Entreprise 1</t>
  </si>
  <si>
    <t>Entreprise 2</t>
  </si>
  <si>
    <t>dfdfgdfgdfgdf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</si>
</sst>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CF5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AAA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2" fontId="4" fillId="2" borderId="4" xfId="0" applyNumberFormat="1" applyFont="1" applyFill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5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1</xdr:row>
          <xdr:rowOff>311150</xdr:rowOff>
        </xdr:from>
        <xdr:to>
          <xdr:col>1</xdr:col>
          <xdr:colOff>342900</xdr:colOff>
          <xdr:row>1</xdr:row>
          <xdr:rowOff>622300</xdr:rowOff>
        </xdr:to>
        <xdr:sp macro="" textlink="">
          <xdr:nvSpPr>
            <xdr:cNvPr id="1032" name="CalculerNotePri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800100</xdr:colOff>
          <xdr:row>1</xdr:row>
          <xdr:rowOff>311150</xdr:rowOff>
        </xdr:from>
        <xdr:to>
          <xdr:col>5</xdr:col>
          <xdr:colOff>1162050</xdr:colOff>
          <xdr:row>1</xdr:row>
          <xdr:rowOff>622300</xdr:rowOff>
        </xdr:to>
        <xdr:sp macro="" textlink="">
          <xdr:nvSpPr>
            <xdr:cNvPr id="1033" name="AutresFonc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406400</xdr:colOff>
          <xdr:row>1</xdr:row>
          <xdr:rowOff>361950</xdr:rowOff>
        </xdr:from>
        <xdr:to>
          <xdr:col>4</xdr:col>
          <xdr:colOff>774700</xdr:colOff>
          <xdr:row>1</xdr:row>
          <xdr:rowOff>603250</xdr:rowOff>
        </xdr:to>
        <xdr:sp macro="" textlink="">
          <xdr:nvSpPr>
            <xdr:cNvPr id="1035" name="CB_ChoixCalculNote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394854</xdr:colOff>
      <xdr:row>1</xdr:row>
      <xdr:rowOff>44450</xdr:rowOff>
    </xdr:from>
    <xdr:to>
      <xdr:col>3</xdr:col>
      <xdr:colOff>824922</xdr:colOff>
      <xdr:row>1</xdr:row>
      <xdr:rowOff>323850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8654" y="787400"/>
          <a:ext cx="1611168" cy="2794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Formule utilisée</a:t>
          </a:r>
          <a:r>
            <a:rPr lang="fr-FR" sz="1100" b="1" baseline="0">
              <a:solidFill>
                <a:sysClr val="windowText" lastClr="000000"/>
              </a:solidFill>
            </a:rPr>
            <a:t> :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7"/>
  <sheetViews>
    <sheetView tabSelected="1" zoomScaleNormal="100" workbookViewId="0">
      <pane ySplit="2" topLeftCell="A3" activePane="bottomLeft" state="frozen"/>
      <selection pane="bottomLeft" sqref="A1:F1"/>
    </sheetView>
  </sheetViews>
  <sheetFormatPr baseColWidth="10" defaultRowHeight="14.5" x14ac:dyDescent="0.35"/>
  <cols>
    <col min="1" max="2" width="17.6328125" style="1" customWidth="1"/>
    <col min="3" max="6" width="16.90625" style="1" customWidth="1"/>
    <col min="7" max="7" width="10.90625" style="1" customWidth="1"/>
    <col min="8" max="9" width="10.90625" style="1" hidden="1" customWidth="1"/>
    <col min="10" max="10" width="12.36328125" style="1" hidden="1" customWidth="1"/>
    <col min="11" max="16384" width="10.90625" style="1"/>
  </cols>
  <sheetData>
    <row r="1" spans="1:15" ht="58.5" customHeight="1" thickBot="1" x14ac:dyDescent="0.4">
      <c r="A1" s="13" t="s">
        <v>12</v>
      </c>
      <c r="B1" s="14"/>
      <c r="C1" s="14"/>
      <c r="D1" s="14"/>
      <c r="E1" s="14"/>
      <c r="F1" s="15"/>
      <c r="G1" s="6"/>
      <c r="H1" s="6"/>
      <c r="I1" s="6"/>
      <c r="J1" s="6"/>
      <c r="K1" s="6"/>
      <c r="L1" s="6"/>
      <c r="M1" s="6"/>
      <c r="N1" s="6"/>
      <c r="O1" s="6"/>
    </row>
    <row r="2" spans="1:15" ht="54" customHeight="1" x14ac:dyDescent="0.35">
      <c r="A2" s="22"/>
      <c r="B2" s="22"/>
      <c r="C2" s="22"/>
      <c r="D2" s="22"/>
      <c r="E2" s="22"/>
      <c r="F2" s="22"/>
      <c r="G2" s="6"/>
      <c r="H2" s="6"/>
      <c r="I2" s="6"/>
      <c r="J2" s="6"/>
      <c r="K2" s="6"/>
      <c r="L2" s="6"/>
      <c r="M2" s="6"/>
      <c r="N2" s="6"/>
      <c r="O2" s="6"/>
    </row>
    <row r="3" spans="1:15" ht="25.5" customHeight="1" x14ac:dyDescent="0.35">
      <c r="A3" s="16" t="s">
        <v>8</v>
      </c>
      <c r="B3" s="17"/>
      <c r="C3" s="17"/>
      <c r="D3" s="17"/>
      <c r="E3" s="17"/>
      <c r="F3" s="18"/>
      <c r="G3" s="6"/>
      <c r="H3" s="6"/>
      <c r="I3" s="6"/>
      <c r="J3" s="6"/>
      <c r="K3" s="6"/>
      <c r="L3" s="6"/>
      <c r="M3" s="6"/>
      <c r="N3" s="6"/>
      <c r="O3" s="6"/>
    </row>
    <row r="4" spans="1:15" x14ac:dyDescent="0.35">
      <c r="A4" s="21"/>
      <c r="B4" s="21"/>
      <c r="C4" s="21"/>
      <c r="D4" s="21"/>
      <c r="E4" s="21"/>
      <c r="F4" s="21"/>
      <c r="G4" s="6"/>
      <c r="H4" s="6"/>
      <c r="I4" s="6"/>
      <c r="J4" s="6"/>
      <c r="K4" s="6"/>
      <c r="L4" s="6"/>
      <c r="M4" s="6"/>
      <c r="N4" s="6"/>
      <c r="O4" s="6"/>
    </row>
    <row r="5" spans="1:15" x14ac:dyDescent="0.35">
      <c r="A5" s="19" t="s">
        <v>5</v>
      </c>
      <c r="B5" s="19" t="s">
        <v>4</v>
      </c>
      <c r="C5" s="23" t="s">
        <v>13</v>
      </c>
      <c r="D5" s="23"/>
      <c r="E5" s="23" t="s">
        <v>14</v>
      </c>
      <c r="F5" s="23"/>
      <c r="G5" s="6"/>
      <c r="H5" s="6"/>
      <c r="I5" s="10"/>
      <c r="J5" s="6"/>
      <c r="K5" s="6"/>
      <c r="L5" s="6"/>
      <c r="M5" s="6"/>
      <c r="N5" s="6"/>
      <c r="O5" s="6"/>
    </row>
    <row r="6" spans="1:15" x14ac:dyDescent="0.35">
      <c r="A6" s="20"/>
      <c r="B6" s="20"/>
      <c r="C6" s="3" t="s">
        <v>1</v>
      </c>
      <c r="D6" s="4" t="s">
        <v>2</v>
      </c>
      <c r="E6" s="3" t="s">
        <v>1</v>
      </c>
      <c r="F6" s="4" t="s">
        <v>2</v>
      </c>
      <c r="G6" s="6"/>
      <c r="H6" s="9" t="s">
        <v>7</v>
      </c>
      <c r="I6" s="9" t="s">
        <v>9</v>
      </c>
      <c r="J6" s="9" t="s">
        <v>10</v>
      </c>
      <c r="K6" s="6"/>
      <c r="L6" s="6"/>
      <c r="M6" s="6"/>
      <c r="N6" s="6"/>
      <c r="O6" s="6"/>
    </row>
    <row r="7" spans="1:15" ht="15.5" customHeight="1" x14ac:dyDescent="0.35">
      <c r="A7" s="8" t="s">
        <v>11</v>
      </c>
      <c r="B7" s="2">
        <v>10</v>
      </c>
      <c r="C7" s="12">
        <v>0</v>
      </c>
      <c r="D7" s="11">
        <f>IF($A$3="Formule utilisée : Offre la moins chère / Offre analysée x Pondération (GRAMP)",IFERROR($H7/C7*$B7,0),IF($A$3="Formule utilisée : Offre la moins chère² / Offre analysée² x Pondération (CROMP)",IFERROR($H7^2/C7^2*$B7,0),IF($A$3="Formule utilisée : Prix moyen / (Prix moyen + Prix analysé) x Pondération (Moyenne)",IFERROR($J7/($J7+C7)*$B7,0),IF($A$3="Formule utilisée : Prix moyen² / (Prix moyen² + Prix analysé²) x Pondération (Moyenne²)",IFERROR($J7^2/($J7^2+C7^2)*$B7,0),IF($A$3="Formule utilisée : (Offre la plus chère - Offre analysée) / (Offre la plus chère - Offre la moins chère) x Pondération (linéraire)",IFERROR(($I7-C7)/($I7-$H7)*$B7,0),0)))))</f>
        <v>0</v>
      </c>
      <c r="E7" s="12">
        <v>0</v>
      </c>
      <c r="F7" s="11">
        <f>IF($A$3="Formule utilisée : Offre la moins chère / Offre analysée x Pondération (GRAMP)",IFERROR($H7/E7*$B7,0),IF($A$3="Formule utilisée : Offre la moins chère² / Offre analysée² x Pondération (CROMP)",IFERROR($H7^2/E7^2*$B7,0),IF($A$3="Formule utilisée : Prix moyen / (Prix moyen + Prix analysé) x Pondération (Moyenne)",IFERROR($J7/($J7+E7)*$B7,0),IF($A$3="Formule utilisée : Prix moyen² / (Prix moyen² + Prix analysé²) x Pondération (Moyenne²)",IFERROR($J7^2/($J7^2+E7^2)*$B7,0),IF($A$3="Formule utilisée : (Offre la plus chère - Offre analysée) / (Offre la plus chère - Offre la moins chère) x Pondération (linéraire)",IFERROR(($I7-E7)/($I7-$H7)*$B7,0),0)))))</f>
        <v>0</v>
      </c>
      <c r="G7" s="6"/>
      <c r="H7" s="7">
        <f>MIN(Feuil2!B2:R2)</f>
        <v>0</v>
      </c>
      <c r="I7" s="7">
        <f>MAX(Feuil2!B2:R2)</f>
        <v>0</v>
      </c>
      <c r="J7" s="7">
        <f>IFERROR(AVERAGE(Feuil2!B2:R2),0)</f>
        <v>0</v>
      </c>
      <c r="K7" s="6"/>
      <c r="L7" s="6"/>
      <c r="M7" s="6"/>
      <c r="N7" s="6"/>
      <c r="O7" s="6"/>
    </row>
  </sheetData>
  <mergeCells count="8">
    <mergeCell ref="A1:F1"/>
    <mergeCell ref="A3:F3"/>
    <mergeCell ref="A5:A6"/>
    <mergeCell ref="A4:F4"/>
    <mergeCell ref="A2:F2"/>
    <mergeCell ref="C5:D5"/>
    <mergeCell ref="E5:F5"/>
    <mergeCell ref="B5:B6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33" r:id="rId4" name="AutresFonctions">
          <controlPr defaultSize="0" print="0" autoLine="0" r:id="rId5">
            <anchor>
              <from>
                <xdr:col>4</xdr:col>
                <xdr:colOff>800100</xdr:colOff>
                <xdr:row>1</xdr:row>
                <xdr:rowOff>311150</xdr:rowOff>
              </from>
              <to>
                <xdr:col>5</xdr:col>
                <xdr:colOff>1162050</xdr:colOff>
                <xdr:row>1</xdr:row>
                <xdr:rowOff>622300</xdr:rowOff>
              </to>
            </anchor>
          </controlPr>
        </control>
      </mc:Choice>
      <mc:Fallback>
        <control shapeId="1033" r:id="rId4" name="AutresFonctions"/>
      </mc:Fallback>
    </mc:AlternateContent>
    <mc:AlternateContent xmlns:mc="http://schemas.openxmlformats.org/markup-compatibility/2006">
      <mc:Choice Requires="x14">
        <control shapeId="1032" r:id="rId6" name="CalculerNotePrix">
          <controlPr defaultSize="0" print="0" autoLine="0" r:id="rId7">
            <anchor>
              <from>
                <xdr:col>0</xdr:col>
                <xdr:colOff>31750</xdr:colOff>
                <xdr:row>1</xdr:row>
                <xdr:rowOff>311150</xdr:rowOff>
              </from>
              <to>
                <xdr:col>1</xdr:col>
                <xdr:colOff>342900</xdr:colOff>
                <xdr:row>1</xdr:row>
                <xdr:rowOff>622300</xdr:rowOff>
              </to>
            </anchor>
          </controlPr>
        </control>
      </mc:Choice>
      <mc:Fallback>
        <control shapeId="1032" r:id="rId6" name="CalculerNotePrix"/>
      </mc:Fallback>
    </mc:AlternateContent>
    <mc:AlternateContent xmlns:mc="http://schemas.openxmlformats.org/markup-compatibility/2006">
      <mc:Choice Requires="x14">
        <control shapeId="1035" r:id="rId8" name="CB_ChoixCalculNotes">
          <controlPr defaultSize="0" print="0" autoLine="0" autoPict="0" r:id="rId9">
            <anchor>
              <from>
                <xdr:col>1</xdr:col>
                <xdr:colOff>406400</xdr:colOff>
                <xdr:row>1</xdr:row>
                <xdr:rowOff>361950</xdr:rowOff>
              </from>
              <to>
                <xdr:col>4</xdr:col>
                <xdr:colOff>774700</xdr:colOff>
                <xdr:row>1</xdr:row>
                <xdr:rowOff>603250</xdr:rowOff>
              </to>
            </anchor>
          </controlPr>
        </control>
      </mc:Choice>
      <mc:Fallback>
        <control shapeId="1035" r:id="rId8" name="CB_ChoixCalculNo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3"/>
  <sheetViews>
    <sheetView workbookViewId="0">
      <selection activeCell="A2" sqref="A2"/>
    </sheetView>
  </sheetViews>
  <sheetFormatPr baseColWidth="10" defaultRowHeight="14.5" x14ac:dyDescent="0.35"/>
  <cols>
    <col min="1" max="1" width="16.26953125" style="5" customWidth="1"/>
    <col min="2" max="16384" width="10.90625" style="5"/>
  </cols>
  <sheetData>
    <row r="1" spans="1:3" x14ac:dyDescent="0.35">
      <c r="A1" s="5" t="s">
        <v>15</v>
      </c>
      <c r="B1" s="5" t="s">
        <v>0</v>
      </c>
    </row>
    <row r="2" spans="1:3" x14ac:dyDescent="0.35">
      <c r="A2" s="5" t="s">
        <v>3</v>
      </c>
      <c r="B2" s="5">
        <v>0</v>
      </c>
      <c r="C2" s="5">
        <v>0</v>
      </c>
    </row>
    <row r="3" spans="1:3" x14ac:dyDescent="0.35">
      <c r="A3" s="5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Note prix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Selim</dc:creator>
  <cp:lastModifiedBy>Selim</cp:lastModifiedBy>
  <cp:lastPrinted>2019-09-24T09:18:16Z</cp:lastPrinted>
  <dcterms:created xsi:type="dcterms:W3CDTF">2019-09-12T18:57:10Z</dcterms:created>
  <dcterms:modified xsi:type="dcterms:W3CDTF">2019-09-25T22:53:12Z</dcterms:modified>
</cp:coreProperties>
</file>